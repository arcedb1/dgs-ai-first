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sumo" sheetId="1" state="visible" r:id="rId1"/>
    <sheet name="Readiness" sheetId="2" state="visible" r:id="rId2"/>
  </sheets>
  <definedNames>
    <definedName name="_xlnm._FilterDatabase" localSheetId="1" hidden="1">'Readiness'!$A$2:$G$30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C2430"/>
      <sz val="15"/>
    </font>
    <font>
      <name val="Arial"/>
      <charset val="1"/>
      <family val="0"/>
      <color rgb="FF64748B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4748B"/>
      <sz val="10"/>
    </font>
    <font>
      <name val="Arial"/>
      <charset val="1"/>
      <family val="0"/>
      <sz val="11"/>
    </font>
    <font>
      <name val="Arial"/>
      <charset val="1"/>
      <family val="0"/>
      <b val="1"/>
      <color rgb="FF1C2430"/>
      <sz val="13"/>
    </font>
    <font>
      <name val="Arial"/>
      <charset val="1"/>
      <family val="0"/>
      <b val="1"/>
      <color rgb="FF1A9C56"/>
      <sz val="13"/>
    </font>
    <font>
      <name val="Arial"/>
      <charset val="1"/>
      <family val="0"/>
      <b val="1"/>
      <color rgb="FFD69B00"/>
      <sz val="13"/>
    </font>
    <font>
      <name val="Arial"/>
      <charset val="1"/>
      <family val="0"/>
      <b val="1"/>
      <color rgb="FFD13B3B"/>
      <sz val="13"/>
    </font>
    <font>
      <name val="Arial"/>
      <charset val="1"/>
      <family val="0"/>
      <i val="1"/>
      <color rgb="FFB4530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b val="1"/>
      <color rgb="007C2D12"/>
      <sz val="11"/>
    </font>
  </fonts>
  <fills count="4">
    <fill>
      <patternFill/>
    </fill>
    <fill>
      <patternFill patternType="gray125"/>
    </fill>
    <fill>
      <patternFill patternType="solid">
        <fgColor rgb="FF1C2430"/>
        <bgColor rgb="FF333300"/>
      </patternFill>
    </fill>
    <fill>
      <patternFill patternType="solid">
        <fgColor rgb="00FFF7ED"/>
        <bgColor rgb="00FFF7ED"/>
      </patternFill>
    </fill>
  </fills>
  <borders count="7">
    <border>
      <left/>
      <right/>
      <top/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  <border>
      <left style="thin">
        <color rgb="007C2D12"/>
      </left>
      <right style="thin">
        <color rgb="007C2D12"/>
      </right>
      <top style="thin">
        <color rgb="007C2D12"/>
      </top>
      <bottom style="thin">
        <color rgb="007C2D12"/>
      </bottom>
    </border>
    <border>
      <left/>
      <right/>
      <top style="thin">
        <color rgb="007C2D12"/>
      </top>
      <bottom/>
      <diagonal/>
    </border>
    <border>
      <left/>
      <right style="thin">
        <color rgb="007C2D12"/>
      </right>
      <top style="thin">
        <color rgb="007C2D12"/>
      </top>
      <bottom/>
      <diagonal/>
    </border>
    <border>
      <left/>
      <right/>
      <top style="thin">
        <color rgb="007C2D12"/>
      </top>
      <bottom style="thin">
        <color rgb="007C2D12"/>
      </bottom>
      <diagonal/>
    </border>
    <border>
      <left/>
      <right style="thin">
        <color rgb="007C2D12"/>
      </right>
      <top style="thin">
        <color rgb="007C2D12"/>
      </top>
      <bottom style="thin">
        <color rgb="007C2D1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2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7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2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>
          <bgColor rgb="FFD13B3B"/>
        </patternFill>
      </fill>
    </dxf>
    <dxf>
      <fill>
        <patternFill>
          <bgColor rgb="FF1A9C56"/>
        </patternFill>
      </fill>
    </dxf>
    <dxf>
      <fill>
        <patternFill patternType="solid">
          <fgColor rgb="FF1C2430"/>
          <bgColor rgb="FF000000"/>
        </patternFill>
      </fill>
    </dxf>
    <dxf>
      <fill>
        <patternFill patternType="solid">
          <fgColor rgb="FFFFF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4E4"/>
          <bgColor rgb="FF000000"/>
        </patternFill>
      </fill>
    </dxf>
    <dxf>
      <fill>
        <patternFill patternType="solid">
          <fgColor rgb="FFFDF3D7"/>
          <bgColor rgb="FF000000"/>
        </patternFill>
      </fill>
    </dxf>
    <dxf>
      <fill>
        <patternFill patternType="solid">
          <fgColor rgb="FFB07C00"/>
          <bgColor rgb="FF000000"/>
        </patternFill>
      </fill>
    </dxf>
    <dxf>
      <fill>
        <patternFill patternType="solid">
          <fgColor rgb="FFD13B3B"/>
          <bgColor rgb="FF000000"/>
        </patternFill>
      </fill>
    </dxf>
    <dxf>
      <font>
        <name val="Arial"/>
        <charset val="1"/>
        <family val="0"/>
        <b val="1"/>
        <color rgb="FF1A9C56"/>
        <sz val="10"/>
      </font>
      <fill>
        <patternFill>
          <bgColor rgb="FFE4F6EC"/>
        </patternFill>
      </fill>
    </dxf>
    <dxf>
      <font>
        <name val="Arial"/>
        <charset val="1"/>
        <family val="0"/>
        <b val="1"/>
        <color rgb="FFB07C00"/>
        <sz val="10"/>
      </font>
      <fill>
        <patternFill>
          <bgColor rgb="FFFDF3D7"/>
        </patternFill>
      </fill>
    </dxf>
    <dxf>
      <font>
        <name val="Arial"/>
        <charset val="1"/>
        <family val="0"/>
        <b val="1"/>
        <color rgb="FFD13B3B"/>
        <sz val="10"/>
      </font>
      <fill>
        <patternFill>
          <bgColor rgb="FFFBE4E4"/>
        </patternFill>
      </fill>
    </dxf>
    <dxf>
      <fill>
        <patternFill>
          <bgColor rgb="FFFFF3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C00"/>
      <rgbColor rgb="FF800080"/>
      <rgbColor rgb="FF008080"/>
      <rgbColor rgb="FFC0C0C0"/>
      <rgbColor rgb="FF808080"/>
      <rgbColor rgb="FF9999FF"/>
      <rgbColor rgb="FFD13B3B"/>
      <rgbColor rgb="FFFDF3D7"/>
      <rgbColor rgb="FFE4F6EC"/>
      <rgbColor rgb="FF660066"/>
      <rgbColor rgb="FFFF8080"/>
      <rgbColor rgb="FF0066CC"/>
      <rgbColor rgb="FFD9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3F3"/>
      <rgbColor rgb="FFCCFFCC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D69B00"/>
      <rgbColor rgb="FFFF6600"/>
      <rgbColor rgb="FF64748B"/>
      <rgbColor rgb="FF969696"/>
      <rgbColor rgb="FF003366"/>
      <rgbColor rgb="FF1A9C56"/>
      <rgbColor rgb="FF003300"/>
      <rgbColor rgb="FF333300"/>
      <rgbColor rgb="FFB45309"/>
      <rgbColor rgb="FF993366"/>
      <rgbColor rgb="FF333399"/>
      <rgbColor rgb="FF1C243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D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15" min="1" max="1"/>
    <col width="42" customWidth="1" style="15" min="2" max="2"/>
    <col width="12" customWidth="1" style="15" min="3" max="3"/>
    <col width="55" customWidth="1" style="15" min="4" max="4"/>
  </cols>
  <sheetData>
    <row r="1" ht="90" customHeight="1" s="16">
      <c r="B1" s="17" t="inlineStr">
        <is>
          <t>⚠️ AVISO: Os 18 critérios classificados como Bloqueante = Sim ainda estão com o campo Responsável em placeholder ([DEFINIR]). A nomeação formal de um responsável real para cada um desses 18 itens — com confirmação de disponibilidade antes das respectivas datas-alvo — é pré-requisito para o início do go-live, pois sem responsável definido não há como garantir a execução, o prazo, nem a prestação de contas de cada bloqueante. Este passo deve ser concluído pelo DM antes de qualquer item ser tratado como 'em andamento'.</t>
        </is>
      </c>
      <c r="C1" s="33" t="n"/>
      <c r="D1" s="34" t="n"/>
    </row>
    <row r="2" ht="18.55" customHeight="1" s="16"/>
    <row r="3" ht="15" customHeight="1" s="16"/>
    <row r="5" ht="17.35" customHeight="1" s="16">
      <c r="B5" s="19" t="inlineStr">
        <is>
          <t>Readiness Go-Live — Assistente de IA NovaTech</t>
        </is>
      </c>
    </row>
    <row r="6">
      <c r="B6" s="20" t="inlineStr">
        <is>
          <t>Harness de Governança · 5 camadas · Demo: 26/07/2026 (2 semanas a partir de 12/07/2026)</t>
        </is>
      </c>
    </row>
    <row r="7" ht="16.15" customHeight="1" s="16"/>
    <row r="8" ht="16.15" customHeight="1" s="16">
      <c r="B8" s="21" t="inlineStr">
        <is>
          <t>Go-live autorizado?</t>
        </is>
      </c>
      <c r="C8" s="22">
        <f>IF(COUNTIFS(Readiness!D:D,"Sim",Readiness!C:C,"&lt;&gt;Verde")=0,"SIM","NÃO")</f>
        <v/>
      </c>
      <c r="D8" s="23">
        <f>IF($C$8="NÃO","Bloqueado: há critério(s) bloqueante(s) fora do verde","Todos os bloqueantes estão no verde")</f>
        <v/>
      </c>
    </row>
    <row r="9" ht="16.15" customHeight="1" s="16"/>
    <row r="10" ht="16.15" customHeight="1" s="16">
      <c r="B10" s="24" t="inlineStr">
        <is>
          <t>Total de critérios</t>
        </is>
      </c>
      <c r="C10" s="25">
        <f>COUNTA(Readiness!A3:A100)</f>
        <v/>
      </c>
    </row>
    <row r="11" ht="16.15" customHeight="1" s="16">
      <c r="B11" s="24" t="inlineStr">
        <is>
          <t>🟢 Verdes</t>
        </is>
      </c>
      <c r="C11" s="26">
        <f>COUNTIF(Readiness!C:C,"Verde")</f>
        <v/>
      </c>
    </row>
    <row r="12" ht="16.15" customHeight="1" s="16">
      <c r="B12" s="24" t="inlineStr">
        <is>
          <t>🟡 Amarelos</t>
        </is>
      </c>
      <c r="C12" s="27">
        <f>COUNTIF(Readiness!C:C,"Amarelo")</f>
        <v/>
      </c>
    </row>
    <row r="13">
      <c r="B13" s="24" t="inlineStr">
        <is>
          <t>🔴 Vermelhos</t>
        </is>
      </c>
      <c r="C13" s="28">
        <f>COUNTIF(Readiness!C:C,"Vermelho")</f>
        <v/>
      </c>
    </row>
    <row r="14">
      <c r="B14" s="24" t="inlineStr">
        <is>
          <t>⛔ Bloqueantes pendentes (fora do verde)</t>
        </is>
      </c>
      <c r="C14" s="28">
        <f>COUNTIFS(Readiness!D:D,"Sim",Readiness!C:C,"&lt;&gt;Verde")</f>
        <v/>
      </c>
    </row>
    <row r="15">
      <c r="B15" s="24" t="inlineStr">
        <is>
          <t>Bloqueantes no total</t>
        </is>
      </c>
      <c r="C15" s="25">
        <f>COUNTIF(Readiness!D:D,"Sim")</f>
        <v/>
      </c>
    </row>
  </sheetData>
  <mergeCells count="1">
    <mergeCell ref="B1:D1"/>
  </mergeCells>
  <conditionalFormatting sqref="C5">
    <cfRule type="expression" rank="0" priority="2" equalAverage="0" aboveAverage="0" dxfId="0" text="" percent="0" bottom="0">
      <formula>$C$5="NÃO"</formula>
    </cfRule>
    <cfRule type="expression" rank="0" priority="3" equalAverage="0" aboveAverage="0" dxfId="1" text="" percent="0" bottom="0">
      <formula>$C$5="SIM"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15" min="1" max="1"/>
    <col width="22" customWidth="1" style="15" min="2" max="2"/>
    <col width="11" customWidth="1" style="15" min="3" max="3"/>
    <col width="12" customWidth="1" style="15" min="4" max="4"/>
    <col width="26" customWidth="1" style="15" min="5" max="5"/>
    <col width="17" customWidth="1" style="15" min="6" max="6"/>
    <col width="50" customWidth="1" style="15" min="7" max="7"/>
  </cols>
  <sheetData>
    <row r="1" ht="15" customHeight="1" s="16">
      <c r="A1" s="29" t="inlineStr">
        <is>
          <t>Edite as células de Status (Verde/Amarelo/Vermelho), Bloqueante? (Sim/Não), Responsável e Data-alvo. O Resumo e as cores recalculam automaticamente.</t>
        </is>
      </c>
    </row>
    <row r="2" ht="23.85" customHeight="1" s="16">
      <c r="A2" s="30" t="inlineStr">
        <is>
          <t>Critério</t>
        </is>
      </c>
      <c r="B2" s="30" t="inlineStr">
        <is>
          <t>Camada</t>
        </is>
      </c>
      <c r="C2" s="30" t="inlineStr">
        <is>
          <t>Status</t>
        </is>
      </c>
      <c r="D2" s="30" t="inlineStr">
        <is>
          <t>Bloqueante?</t>
        </is>
      </c>
      <c r="E2" s="30" t="inlineStr">
        <is>
          <t>Responsável</t>
        </is>
      </c>
      <c r="F2" s="30" t="inlineStr">
        <is>
          <t>Data-alvo</t>
        </is>
      </c>
      <c r="G2" s="30" t="inlineStr">
        <is>
          <t>Observação</t>
        </is>
      </c>
    </row>
    <row r="3" ht="23.85" customHeight="1" s="16">
      <c r="A3" s="31" t="inlineStr">
        <is>
          <t>Endpoint de query com timeout e retry para Azure AI Search</t>
        </is>
      </c>
      <c r="B3" s="31" t="inlineStr">
        <is>
          <t>1. Tool Orchestration</t>
        </is>
      </c>
      <c r="C3" s="32" t="inlineStr">
        <is>
          <t>Amarelo</t>
        </is>
      </c>
      <c r="D3" s="32" t="inlineStr">
        <is>
          <t>Sim</t>
        </is>
      </c>
      <c r="E3" s="31" t="inlineStr">
        <is>
          <t>[DEFINIR — Tech Lead]</t>
        </is>
      </c>
      <c r="F3" s="31" t="inlineStr">
        <is>
          <t>18/07/2026</t>
        </is>
      </c>
      <c r="G3" s="31" t="inlineStr">
        <is>
          <t>Endpoint existe, mas timeout/retry não configurados de forma explícita. Ajuste rápido em código.</t>
        </is>
      </c>
    </row>
    <row r="4" ht="23.85" customHeight="1" s="16">
      <c r="A4" s="31" t="inlineStr">
        <is>
          <t>Fallback explícito quando o retrieval não retorna chunks relevantes</t>
        </is>
      </c>
      <c r="B4" s="31" t="inlineStr">
        <is>
          <t>1. Tool Orchestration</t>
        </is>
      </c>
      <c r="C4" s="32" t="inlineStr">
        <is>
          <t>Vermelho</t>
        </is>
      </c>
      <c r="D4" s="32" t="inlineStr">
        <is>
          <t>Sim</t>
        </is>
      </c>
      <c r="E4" s="31" t="inlineStr">
        <is>
          <t>[DEFINIR — Tech Lead]</t>
        </is>
      </c>
      <c r="F4" s="31" t="inlineStr">
        <is>
          <t>21/07/2026</t>
        </is>
      </c>
      <c r="G4" s="31" t="inlineStr">
        <is>
          <t>Causa raiz de parte da alucinação — hoje o modelo responde mesmo sem chunk. Não implementado.</t>
        </is>
      </c>
    </row>
    <row r="5" ht="23.85" customHeight="1" s="16">
      <c r="A5" s="31" t="inlineStr">
        <is>
          <t>Orquestração bot Teams ↔ endpoint com circuit breaker</t>
        </is>
      </c>
      <c r="B5" s="31" t="inlineStr">
        <is>
          <t>1. Tool Orchestration</t>
        </is>
      </c>
      <c r="C5" s="32" t="inlineStr">
        <is>
          <t>Vermelho</t>
        </is>
      </c>
      <c r="D5" s="32" t="inlineStr">
        <is>
          <t>Sim</t>
        </is>
      </c>
      <c r="E5" s="31" t="inlineStr">
        <is>
          <t>[DEFINIR — Dev Backend]</t>
        </is>
      </c>
      <c r="F5" s="31" t="inlineStr">
        <is>
          <t>22/07/2026</t>
        </is>
      </c>
      <c r="G5" s="31" t="inlineStr">
        <is>
          <t>Sem circuit breaker: queda do endpoint gera erro cru para os 5 pilotos. Não implementado.</t>
        </is>
      </c>
    </row>
    <row r="6" ht="23.85" customHeight="1" s="16">
      <c r="A6" s="31" t="inlineStr">
        <is>
          <t>Reprocessamento automático de documentos desatualizados (re-indexação agendada)</t>
        </is>
      </c>
      <c r="B6" s="31" t="inlineStr">
        <is>
          <t>1. Tool Orchestration</t>
        </is>
      </c>
      <c r="C6" s="32" t="inlineStr">
        <is>
          <t>Amarelo</t>
        </is>
      </c>
      <c r="D6" s="32" t="inlineStr">
        <is>
          <t>Não</t>
        </is>
      </c>
      <c r="E6" s="31" t="inlineStr">
        <is>
          <t>[DEFINIR — Eng. de Dados]</t>
        </is>
      </c>
      <c r="F6" s="31" t="inlineStr">
        <is>
          <t>Mitigar até 24/07/2026</t>
        </is>
      </c>
      <c r="G6" s="31" t="inlineStr">
        <is>
          <t>Desejável. Mitigar com reindexação manual antes da demo; automação depois.</t>
        </is>
      </c>
    </row>
    <row r="7" ht="23.85" customHeight="1" s="16">
      <c r="A7" s="31" t="inlineStr">
        <is>
          <t>Orquestração multi-agente (agente validador de resposta)</t>
        </is>
      </c>
      <c r="B7" s="31" t="inlineStr">
        <is>
          <t>1. Tool Orchestration</t>
        </is>
      </c>
      <c r="C7" s="32" t="inlineStr">
        <is>
          <t>Amarelo</t>
        </is>
      </c>
      <c r="D7" s="32" t="inlineStr">
        <is>
          <t>Não</t>
        </is>
      </c>
      <c r="E7" s="31" t="inlineStr">
        <is>
          <t>— (fora de escopo)</t>
        </is>
      </c>
      <c r="F7" s="31" t="inlineStr">
        <is>
          <t>Pós-demo</t>
        </is>
      </c>
      <c r="G7" s="31" t="inlineStr">
        <is>
          <t>Desejável. Risco crítico já coberto pelo HITL (camada 4). Adiar.</t>
        </is>
      </c>
    </row>
    <row r="8" ht="23.85" customHeight="1" s="16">
      <c r="A8" s="31" t="inlineStr">
        <is>
          <t>Structured output obrigatório (JSON validado: answer, source_document, confidence_score)</t>
        </is>
      </c>
      <c r="B8" s="31" t="inlineStr">
        <is>
          <t>2. Verification Loops</t>
        </is>
      </c>
      <c r="C8" s="32" t="inlineStr">
        <is>
          <t>Vermelho</t>
        </is>
      </c>
      <c r="D8" s="32" t="inlineStr">
        <is>
          <t>Sim</t>
        </is>
      </c>
      <c r="E8" s="31" t="inlineStr">
        <is>
          <t>[DEFINIR — Tech Lead]</t>
        </is>
      </c>
      <c r="F8" s="31" t="inlineStr">
        <is>
          <t>19/07/2026</t>
        </is>
      </c>
      <c r="G8" s="31" t="inlineStr">
        <is>
          <t>Bloqueio mais urgente: sem ele o HITL nem pode existir. Respostas hoje em texto livre.</t>
        </is>
      </c>
    </row>
    <row r="9" ht="23.85" customHeight="1" s="16">
      <c r="A9" s="31" t="inlineStr">
        <is>
          <t>Verificação de que o source_document citado existe de fato no índice</t>
        </is>
      </c>
      <c r="B9" s="31" t="inlineStr">
        <is>
          <t>2. Verification Loops</t>
        </is>
      </c>
      <c r="C9" s="32" t="inlineStr">
        <is>
          <t>Vermelho</t>
        </is>
      </c>
      <c r="D9" s="32" t="inlineStr">
        <is>
          <t>Sim</t>
        </is>
      </c>
      <c r="E9" s="31" t="inlineStr">
        <is>
          <t>[DEFINIR — Dev Backend]</t>
        </is>
      </c>
      <c r="F9" s="31" t="inlineStr">
        <is>
          <t>22/07/2026</t>
        </is>
      </c>
      <c r="G9" s="31" t="inlineStr">
        <is>
          <t>Sem isso o modelo pode 'citar' documento inexistente — pior que não citar. Depende do structured output.</t>
        </is>
      </c>
    </row>
    <row r="10" ht="23.85" customHeight="1" s="16">
      <c r="A10" s="31" t="inlineStr">
        <is>
          <t>Teste de regressão automatizado sobre os 12% de casos de erro conhecidos</t>
        </is>
      </c>
      <c r="B10" s="31" t="inlineStr">
        <is>
          <t>2. Verification Loops</t>
        </is>
      </c>
      <c r="C10" s="32" t="inlineStr">
        <is>
          <t>Vermelho</t>
        </is>
      </c>
      <c r="D10" s="32" t="inlineStr">
        <is>
          <t>Sim</t>
        </is>
      </c>
      <c r="E10" s="31" t="inlineStr">
        <is>
          <t>[DEFINIR — QA]</t>
        </is>
      </c>
      <c r="F10" s="31" t="inlineStr">
        <is>
          <t>23/07/2026</t>
        </is>
      </c>
      <c r="G10" s="31" t="inlineStr">
        <is>
          <t>Rodar antes de cada deploy. Ir ao ar sem monitorar falhas conhecidas = repetir o erro.</t>
        </is>
      </c>
    </row>
    <row r="11" ht="23.85" customHeight="1" s="16">
      <c r="A11" s="31" t="inlineStr">
        <is>
          <t>Elevar cobertura de testes de integração de 75% para 90%+</t>
        </is>
      </c>
      <c r="B11" s="31" t="inlineStr">
        <is>
          <t>2. Verification Loops</t>
        </is>
      </c>
      <c r="C11" s="32" t="inlineStr">
        <is>
          <t>Amarelo</t>
        </is>
      </c>
      <c r="D11" s="32" t="inlineStr">
        <is>
          <t>Não</t>
        </is>
      </c>
      <c r="E11" s="31" t="inlineStr">
        <is>
          <t>[DEFINIR — QA]</t>
        </is>
      </c>
      <c r="F11" s="31" t="inlineStr">
        <is>
          <t>Pós-demo</t>
        </is>
      </c>
      <c r="G11" s="31" t="inlineStr">
        <is>
          <t>Desejável. Cobertura atual ~75%. Focar nos casos de falha conhecidos, não em 15 p.p. em 2 semanas.</t>
        </is>
      </c>
    </row>
    <row r="12" ht="23.85" customHeight="1" s="16">
      <c r="A12" s="31" t="inlineStr">
        <is>
          <t>Verificação semântica automática (LLM-as-judge) de coerência resposta/fonte</t>
        </is>
      </c>
      <c r="B12" s="31" t="inlineStr">
        <is>
          <t>2. Verification Loops</t>
        </is>
      </c>
      <c r="C12" s="32" t="inlineStr">
        <is>
          <t>Amarelo</t>
        </is>
      </c>
      <c r="D12" s="32" t="inlineStr">
        <is>
          <t>Não</t>
        </is>
      </c>
      <c r="E12" s="31" t="inlineStr">
        <is>
          <t>— (fora de escopo)</t>
        </is>
      </c>
      <c r="F12" s="31" t="inlineStr">
        <is>
          <t>Pós-demo</t>
        </is>
      </c>
      <c r="G12" s="31" t="inlineStr">
        <is>
          <t>Desejável. HITL cobre o risco imediato de baixa confiança.</t>
        </is>
      </c>
    </row>
    <row r="13" ht="23.85" customHeight="1" s="16">
      <c r="A13" s="31" t="inlineStr">
        <is>
          <t>Cada resposta referencia versão/data de indexação do documento fonte</t>
        </is>
      </c>
      <c r="B13" s="31" t="inlineStr">
        <is>
          <t>3. Context &amp; Memory</t>
        </is>
      </c>
      <c r="C13" s="32" t="inlineStr">
        <is>
          <t>Vermelho</t>
        </is>
      </c>
      <c r="D13" s="32" t="inlineStr">
        <is>
          <t>Sim</t>
        </is>
      </c>
      <c r="E13" s="31" t="inlineStr">
        <is>
          <t>[DEFINIR — Eng. de Dados]</t>
        </is>
      </c>
      <c r="F13" s="31" t="inlineStr">
        <is>
          <t>22/07/2026</t>
        </is>
      </c>
      <c r="G13" s="31" t="inlineStr">
        <is>
          <t>Sem rastreabilidade não dá para diagnosticar 'documento desatualizado' nem confiar na citação.</t>
        </is>
      </c>
    </row>
    <row r="14" ht="23.85" customHeight="1" s="16">
      <c r="A14" s="31" t="inlineStr">
        <is>
          <t>Isolamento de memória por sessão (sem vazar contexto entre atendentes)</t>
        </is>
      </c>
      <c r="B14" s="31" t="inlineStr">
        <is>
          <t>3. Context &amp; Memory</t>
        </is>
      </c>
      <c r="C14" s="32" t="inlineStr">
        <is>
          <t>Amarelo</t>
        </is>
      </c>
      <c r="D14" s="32" t="inlineStr">
        <is>
          <t>Sim</t>
        </is>
      </c>
      <c r="E14" s="31" t="inlineStr">
        <is>
          <t>[DEFINIR — Dev Backend]</t>
        </is>
      </c>
      <c r="F14" s="31" t="inlineStr">
        <is>
          <t>21/07/2026</t>
        </is>
      </c>
      <c r="G14" s="31" t="inlineStr">
        <is>
          <t>Precisa validação explícita. Risco de dado sensível, agravado pelo incidente do módulo de feedback.</t>
        </is>
      </c>
    </row>
    <row r="15" ht="23.85" customHeight="1" s="16">
      <c r="A15" s="31" t="inlineStr">
        <is>
          <t>Memória de conversa persistente entre turnos na mesma sessão</t>
        </is>
      </c>
      <c r="B15" s="31" t="inlineStr">
        <is>
          <t>3. Context &amp; Memory</t>
        </is>
      </c>
      <c r="C15" s="32" t="inlineStr">
        <is>
          <t>Amarelo</t>
        </is>
      </c>
      <c r="D15" s="32" t="inlineStr">
        <is>
          <t>Não</t>
        </is>
      </c>
      <c r="E15" s="31" t="inlineStr">
        <is>
          <t>— (fora de escopo)</t>
        </is>
      </c>
      <c r="F15" s="31" t="inlineStr">
        <is>
          <t>Pós-demo</t>
        </is>
      </c>
      <c r="G15" s="31" t="inlineStr">
        <is>
          <t>Desejável. Staging funciona por pergunta única; multi-turno é melhoria de UX.</t>
        </is>
      </c>
    </row>
    <row r="16" ht="23.85" customHeight="1" s="16">
      <c r="A16" s="31" t="inlineStr">
        <is>
          <t>Cache de embeddings/chunks para reduzir latência</t>
        </is>
      </c>
      <c r="B16" s="31" t="inlineStr">
        <is>
          <t>3. Context &amp; Memory</t>
        </is>
      </c>
      <c r="C16" s="32" t="inlineStr">
        <is>
          <t>Amarelo</t>
        </is>
      </c>
      <c r="D16" s="32" t="inlineStr">
        <is>
          <t>Não</t>
        </is>
      </c>
      <c r="E16" s="31" t="inlineStr">
        <is>
          <t>— (fora de escopo)</t>
        </is>
      </c>
      <c r="F16" s="31" t="inlineStr">
        <is>
          <t>Pós-demo</t>
        </is>
      </c>
      <c r="G16" s="31" t="inlineStr">
        <is>
          <t>Desejável. Otimização de performance, sem impacto em confiabilidade.</t>
        </is>
      </c>
    </row>
    <row r="17" ht="23.85" customHeight="1" s="16">
      <c r="A17" s="31" t="inlineStr">
        <is>
          <t>HITL obrigatório (retém resposta com confidence &lt; 0.6 OU tema sensível p/ revisão humana)</t>
        </is>
      </c>
      <c r="B17" s="31" t="inlineStr">
        <is>
          <t>4. Guardrails / HITL</t>
        </is>
      </c>
      <c r="C17" s="32" t="inlineStr">
        <is>
          <t>Vermelho</t>
        </is>
      </c>
      <c r="D17" s="32" t="inlineStr">
        <is>
          <t>Sim</t>
        </is>
      </c>
      <c r="E17" s="31" t="inlineStr">
        <is>
          <t>[DEFINIR — Product Specialist]</t>
        </is>
      </c>
      <c r="F17" s="31" t="inlineStr">
        <is>
          <t>24/07/2026</t>
        </is>
      </c>
      <c r="G17" s="31" t="inlineStr">
        <is>
          <t>Mecanismo central para conter os 12% de erro. Não existe revisão humana hoje. Depende do structured output.</t>
        </is>
      </c>
    </row>
    <row r="18" ht="23.85" customHeight="1" s="16">
      <c r="A18" s="31" t="inlineStr">
        <is>
          <t>Correção do módulo de feedback que violou o AGENTS.md (add Zod, remover log sensível)</t>
        </is>
      </c>
      <c r="B18" s="31" t="inlineStr">
        <is>
          <t>4. Guardrails / HITL</t>
        </is>
      </c>
      <c r="C18" s="32" t="inlineStr">
        <is>
          <t>Vermelho</t>
        </is>
      </c>
      <c r="D18" s="32" t="inlineStr">
        <is>
          <t>Sim</t>
        </is>
      </c>
      <c r="E18" s="31" t="inlineStr">
        <is>
          <t>[DEFINIR — Dev do módulo]</t>
        </is>
      </c>
      <c r="F18" s="31" t="inlineStr">
        <is>
          <t>17/07/2026</t>
        </is>
      </c>
      <c r="G18" s="31" t="inlineStr">
        <is>
          <t>Violação já identificada com exposição de dado sensível em staging. Prioridade imediata.</t>
        </is>
      </c>
    </row>
    <row r="19" ht="23.85" customHeight="1" s="16">
      <c r="A19" s="31" t="inlineStr">
        <is>
          <t>Revisão humana obrigatória de todo código gerado por IA antes do merge</t>
        </is>
      </c>
      <c r="B19" s="31" t="inlineStr">
        <is>
          <t>4. Guardrails / HITL</t>
        </is>
      </c>
      <c r="C19" s="32" t="inlineStr">
        <is>
          <t>Amarelo</t>
        </is>
      </c>
      <c r="D19" s="32" t="inlineStr">
        <is>
          <t>Sim</t>
        </is>
      </c>
      <c r="E19" s="31" t="inlineStr">
        <is>
          <t>[DEFINIR — Tech Lead]</t>
        </is>
      </c>
      <c r="F19" s="31" t="inlineStr">
        <is>
          <t>16/07/2026</t>
        </is>
      </c>
      <c r="G19" s="31" t="inlineStr">
        <is>
          <t>Processo, não código — pode ser instituído rápido. Falta formalizar no fluxo de PR/branch protection.</t>
        </is>
      </c>
    </row>
    <row r="20" ht="23.85" customHeight="1" s="16">
      <c r="A20" s="31" t="inlineStr">
        <is>
          <t>Guardrails de produto (DEVE/NÃO DEVE) implementados como validação automática</t>
        </is>
      </c>
      <c r="B20" s="31" t="inlineStr">
        <is>
          <t>4. Guardrails / HITL</t>
        </is>
      </c>
      <c r="C20" s="32" t="inlineStr">
        <is>
          <t>Vermelho</t>
        </is>
      </c>
      <c r="D20" s="32" t="inlineStr">
        <is>
          <t>Sim</t>
        </is>
      </c>
      <c r="E20" s="31" t="inlineStr">
        <is>
          <t>[DEFINIR — Product Specialist + Dev]</t>
        </is>
      </c>
      <c r="F20" s="31" t="inlineStr">
        <is>
          <t>23/07/2026</t>
        </is>
      </c>
      <c r="G20" s="31" t="inlineStr">
        <is>
          <t>Guardrail só em markdown não impede nada em runtime. Precisa virar checagem de código/prompt.</t>
        </is>
      </c>
    </row>
    <row r="21" ht="23.85" customHeight="1" s="16">
      <c r="A21" s="31" t="inlineStr">
        <is>
          <t>HITL — Responsável primário: escala fixa de 2 revisores nomeados por turno</t>
        </is>
      </c>
      <c r="B21" s="31" t="inlineStr">
        <is>
          <t>4. Guardrails / HITL</t>
        </is>
      </c>
      <c r="C21" s="32" t="inlineStr">
        <is>
          <t>Amarelo</t>
        </is>
      </c>
      <c r="D21" s="32" t="inlineStr">
        <is>
          <t>Sim</t>
        </is>
      </c>
      <c r="E21" s="31" t="inlineStr">
        <is>
          <t>[DEFINIR — nomear 2 revisores]</t>
        </is>
      </c>
      <c r="F21" s="31" t="inlineStr">
        <is>
          <t>18/07/2026</t>
        </is>
      </c>
      <c r="G21" s="31" t="inlineStr">
        <is>
          <t>Capacidade operacional do HITL. Nomear pessoas explícitas, não 'o time'.</t>
        </is>
      </c>
    </row>
    <row r="22" ht="23.85" customHeight="1" s="16">
      <c r="A22" s="31" t="inlineStr">
        <is>
          <t>HITL — SLA de 5 min com escalonamento automático + bloqueio em 10 min</t>
        </is>
      </c>
      <c r="B22" s="31" t="inlineStr">
        <is>
          <t>4. Guardrails / HITL</t>
        </is>
      </c>
      <c r="C22" s="32" t="inlineStr">
        <is>
          <t>Vermelho</t>
        </is>
      </c>
      <c r="D22" s="32" t="inlineStr">
        <is>
          <t>Sim</t>
        </is>
      </c>
      <c r="E22" s="31" t="inlineStr">
        <is>
          <t>[DEFINIR — Product Specialist]</t>
        </is>
      </c>
      <c r="F22" s="31" t="inlineStr">
        <is>
          <t>24/07/2026</t>
        </is>
      </c>
      <c r="G22" s="31" t="inlineStr">
        <is>
          <t>Fila trava silenciosamente sem SLA. Escalonamento p/ backup e mensagem padrão ao atendente.</t>
        </is>
      </c>
    </row>
    <row r="23" ht="35.05" customHeight="1" s="16">
      <c r="A23" s="31" t="inlineStr">
        <is>
          <t>HITL — Confirmar disponibilidade real dos revisores na janela da demo</t>
        </is>
      </c>
      <c r="B23" s="31" t="inlineStr">
        <is>
          <t>4. Guardrails / HITL</t>
        </is>
      </c>
      <c r="C23" s="32" t="inlineStr">
        <is>
          <t>Amarelo</t>
        </is>
      </c>
      <c r="D23" s="32" t="inlineStr">
        <is>
          <t>Sim</t>
        </is>
      </c>
      <c r="E23" s="31" t="inlineStr">
        <is>
          <t>[DEFINIR — DM]</t>
        </is>
      </c>
      <c r="F23" s="31" t="inlineStr">
        <is>
          <t>25/07/2026</t>
        </is>
      </c>
      <c r="G23" s="31" t="inlineStr">
        <is>
          <t>Confirmar que revisores nomeados não estão de férias/alocados. Recomenda-se 1 revisor de plantão na demo.</t>
        </is>
      </c>
    </row>
    <row r="24" ht="23.85" customHeight="1" s="16">
      <c r="A24" s="31" t="inlineStr">
        <is>
          <t>Rate limiting / limite de perguntas por atendente por minuto</t>
        </is>
      </c>
      <c r="B24" s="31" t="inlineStr">
        <is>
          <t>4. Guardrails / HITL</t>
        </is>
      </c>
      <c r="C24" s="32" t="inlineStr">
        <is>
          <t>Amarelo</t>
        </is>
      </c>
      <c r="D24" s="32" t="inlineStr">
        <is>
          <t>Não</t>
        </is>
      </c>
      <c r="E24" s="31" t="inlineStr">
        <is>
          <t>— (fora de escopo)</t>
        </is>
      </c>
      <c r="F24" s="31" t="inlineStr">
        <is>
          <t>Pós-demo</t>
        </is>
      </c>
      <c r="G24" s="31" t="inlineStr">
        <is>
          <t>Desejável. Não é bloqueio de confiabilidade para demo com 5 pilotos.</t>
        </is>
      </c>
    </row>
    <row r="25" ht="23.85" customHeight="1" s="16">
      <c r="A25" s="31" t="inlineStr">
        <is>
          <t>Guardrail de conteúdo tóxico/PII na pergunta de entrada</t>
        </is>
      </c>
      <c r="B25" s="31" t="inlineStr">
        <is>
          <t>4. Guardrails / HITL</t>
        </is>
      </c>
      <c r="C25" s="32" t="inlineStr">
        <is>
          <t>Amarelo</t>
        </is>
      </c>
      <c r="D25" s="32" t="inlineStr">
        <is>
          <t>Não</t>
        </is>
      </c>
      <c r="E25" s="31" t="inlineStr">
        <is>
          <t>— (fora de escopo)</t>
        </is>
      </c>
      <c r="F25" s="31" t="inlineStr">
        <is>
          <t>Pós-demo</t>
        </is>
      </c>
      <c r="G25" s="31" t="inlineStr">
        <is>
          <t>Desejável. Redundante no curto prazo; vira bloqueante ao abrir para mais usuários.</t>
        </is>
      </c>
    </row>
    <row r="26" ht="23.85" customHeight="1" s="16">
      <c r="A26" s="31" t="inlineStr">
        <is>
          <t>Log de toda interação (pergunta, resposta, confidence_score, HITL, decisão humana)</t>
        </is>
      </c>
      <c r="B26" s="31" t="inlineStr">
        <is>
          <t>5. Observability</t>
        </is>
      </c>
      <c r="C26" s="32" t="inlineStr">
        <is>
          <t>Vermelho</t>
        </is>
      </c>
      <c r="D26" s="32" t="inlineStr">
        <is>
          <t>Sim</t>
        </is>
      </c>
      <c r="E26" s="31" t="inlineStr">
        <is>
          <t>[DEFINIR — Dev Backend]</t>
        </is>
      </c>
      <c r="F26" s="31" t="inlineStr">
        <is>
          <t>22/07/2026</t>
        </is>
      </c>
      <c r="G26" s="31" t="inlineStr">
        <is>
          <t>Sem log não há como auditar a demo, medir taxa de erro real, nem investigar incidentes.</t>
        </is>
      </c>
    </row>
    <row r="27" ht="23.85" customHeight="1" s="16">
      <c r="A27" s="31" t="inlineStr">
        <is>
          <t>Dashboard/alerta quando retenção HITL ou baixa confiança ultrapassa limiar (&gt;20%)</t>
        </is>
      </c>
      <c r="B27" s="31" t="inlineStr">
        <is>
          <t>5. Observability</t>
        </is>
      </c>
      <c r="C27" s="32" t="inlineStr">
        <is>
          <t>Vermelho</t>
        </is>
      </c>
      <c r="D27" s="32" t="inlineStr">
        <is>
          <t>Sim</t>
        </is>
      </c>
      <c r="E27" s="31" t="inlineStr">
        <is>
          <t>[DEFINIR — DevOps]</t>
        </is>
      </c>
      <c r="F27" s="31" t="inlineStr">
        <is>
          <t>24/07/2026</t>
        </is>
      </c>
      <c r="G27" s="31" t="inlineStr">
        <is>
          <t>Sinal de degradação e gatilho do rollback. Depende do log de interações.</t>
        </is>
      </c>
    </row>
    <row r="28" ht="23.85" customHeight="1" s="16">
      <c r="A28" s="31" t="inlineStr">
        <is>
          <t>Máscara/redação de dados sensíveis do atendente nos logs</t>
        </is>
      </c>
      <c r="B28" s="31" t="inlineStr">
        <is>
          <t>5. Observability</t>
        </is>
      </c>
      <c r="C28" s="32" t="inlineStr">
        <is>
          <t>Vermelho</t>
        </is>
      </c>
      <c r="D28" s="32" t="inlineStr">
        <is>
          <t>Sim</t>
        </is>
      </c>
      <c r="E28" s="31" t="inlineStr">
        <is>
          <t>[DEFINIR — Dev Backend]</t>
        </is>
      </c>
      <c r="F28" s="31" t="inlineStr">
        <is>
          <t>22/07/2026</t>
        </is>
      </c>
      <c r="G28" s="31" t="inlineStr">
        <is>
          <t>Consequência direta do incidente. Logar dado sensível de novo = repetir a falha.</t>
        </is>
      </c>
    </row>
    <row r="29" ht="23.85" customHeight="1" s="16">
      <c r="A29" s="31" t="inlineStr">
        <is>
          <t>Dashboard executivo de métricas de negócio para a diretoria</t>
        </is>
      </c>
      <c r="B29" s="31" t="inlineStr">
        <is>
          <t>5. Observability</t>
        </is>
      </c>
      <c r="C29" s="32" t="inlineStr">
        <is>
          <t>Amarelo</t>
        </is>
      </c>
      <c r="D29" s="32" t="inlineStr">
        <is>
          <t>Não</t>
        </is>
      </c>
      <c r="E29" s="31" t="inlineStr">
        <is>
          <t>[DEFINIR — DM]</t>
        </is>
      </c>
      <c r="F29" s="31" t="inlineStr">
        <is>
          <t>25/07/2026</t>
        </is>
      </c>
      <c r="G29" s="31" t="inlineStr">
        <is>
          <t>Desejável. É apresentação, não controle de risco. Pode ser montado na véspera.</t>
        </is>
      </c>
    </row>
    <row r="30" ht="23.85" customHeight="1" s="16">
      <c r="A30" s="31" t="inlineStr">
        <is>
          <t>Tracing distribuído completo (latência por etapa do pipeline)</t>
        </is>
      </c>
      <c r="B30" s="31" t="inlineStr">
        <is>
          <t>5. Observability</t>
        </is>
      </c>
      <c r="C30" s="32" t="inlineStr">
        <is>
          <t>Amarelo</t>
        </is>
      </c>
      <c r="D30" s="32" t="inlineStr">
        <is>
          <t>Não</t>
        </is>
      </c>
      <c r="E30" s="31" t="inlineStr">
        <is>
          <t>— (fora de escopo)</t>
        </is>
      </c>
      <c r="F30" s="31" t="inlineStr">
        <is>
          <t>Pós-demo</t>
        </is>
      </c>
      <c r="G30" s="31" t="inlineStr">
        <is>
          <t>Desejável. Otimização operacional futura, não crítico para demo controlada.</t>
        </is>
      </c>
    </row>
  </sheetData>
  <autoFilter ref="A2:G30"/>
  <mergeCells count="1">
    <mergeCell ref="A1:G1"/>
  </mergeCells>
  <conditionalFormatting sqref="C3:C30">
    <cfRule type="expression" rank="0" priority="2" equalAverage="0" aboveAverage="0" dxfId="10" text="" percent="0" bottom="0">
      <formula>$C3="Verde"</formula>
    </cfRule>
    <cfRule type="expression" rank="0" priority="3" equalAverage="0" aboveAverage="0" dxfId="11" text="" percent="0" bottom="0">
      <formula>$C3="Amarelo"</formula>
    </cfRule>
    <cfRule type="expression" rank="0" priority="4" equalAverage="0" aboveAverage="0" dxfId="12" text="" percent="0" bottom="0">
      <formula>$C3="Vermelho"</formula>
    </cfRule>
  </conditionalFormatting>
  <conditionalFormatting sqref="A3:A30">
    <cfRule type="expression" rank="0" priority="5" equalAverage="0" aboveAverage="0" dxfId="13" text="" percent="0" bottom="0">
      <formula>AND($D3="Sim",$C3&lt;&gt;"Verde")</formula>
    </cfRule>
  </conditionalFormatting>
  <dataValidations count="2">
    <dataValidation sqref="C3:C30" showDropDown="0" showInputMessage="0" showErrorMessage="0" allowBlank="0" type="list" errorStyle="stop" operator="between">
      <formula1>"Verde,Amarelo,Vermelho"</formula1>
      <formula2>0</formula2>
    </dataValidation>
    <dataValidation sqref="D3:D30" showDropDown="0" showInputMessage="0" showErrorMessage="0" allowBlank="0" type="list" errorStyle="stop" operator="between">
      <formula1>"Sim,Não"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2026-07-13T02:45:36Z</dcterms:created>
  <dcterms:modified xsi:type="dcterms:W3CDTF">2026-07-13T03:05:49Z</dcterms:modified>
  <cp:revision>0</cp:revision>
</cp:coreProperties>
</file>